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27360d49d822591/Desktop/ml_project/semicon/submission/"/>
    </mc:Choice>
  </mc:AlternateContent>
  <xr:revisionPtr revIDLastSave="248" documentId="8_{5BFC6436-AFAB-42E2-85E3-CC752994DB83}" xr6:coauthVersionLast="47" xr6:coauthVersionMax="47" xr10:uidLastSave="{8379362F-75EC-476E-AEAC-1DD0D55E3243}"/>
  <bookViews>
    <workbookView xWindow="-108" yWindow="-108" windowWidth="23256" windowHeight="12456" xr2:uid="{D3F51CD1-935F-4C90-9448-330C2A1111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9" i="1"/>
  <c r="L10" i="1"/>
  <c r="L12" i="1"/>
  <c r="L13" i="1"/>
  <c r="L14" i="1"/>
  <c r="L15" i="1"/>
  <c r="L16" i="1"/>
  <c r="L17" i="1"/>
  <c r="L19" i="1"/>
  <c r="L20" i="1"/>
  <c r="L23" i="1"/>
  <c r="L25" i="1"/>
  <c r="L26" i="1"/>
  <c r="L2" i="1"/>
  <c r="J11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/>
  <c r="J23" i="1"/>
  <c r="J24" i="1"/>
  <c r="J25" i="1"/>
  <c r="J26" i="1"/>
  <c r="J27" i="1"/>
  <c r="J28" i="1"/>
  <c r="J29" i="1"/>
  <c r="J30" i="1"/>
  <c r="J31" i="1"/>
  <c r="J21" i="1"/>
  <c r="J22" i="1"/>
  <c r="J8" i="1"/>
  <c r="J3" i="1"/>
  <c r="J4" i="1"/>
  <c r="J5" i="1"/>
  <c r="J6" i="1"/>
  <c r="J7" i="1"/>
  <c r="J9" i="1"/>
  <c r="J10" i="1"/>
  <c r="J12" i="1"/>
  <c r="J13" i="1"/>
  <c r="J14" i="1"/>
  <c r="J15" i="1"/>
  <c r="J16" i="1"/>
  <c r="J17" i="1"/>
  <c r="J18" i="1"/>
  <c r="J19" i="1"/>
  <c r="J20" i="1"/>
  <c r="J2" i="1"/>
</calcChain>
</file>

<file path=xl/sharedStrings.xml><?xml version="1.0" encoding="utf-8"?>
<sst xmlns="http://schemas.openxmlformats.org/spreadsheetml/2006/main" count="134" uniqueCount="126">
  <si>
    <t>Defect</t>
  </si>
  <si>
    <t>Runtime</t>
  </si>
  <si>
    <t>Sl No</t>
  </si>
  <si>
    <t>Reference Image Path</t>
  </si>
  <si>
    <t>Wide Search mage Path</t>
  </si>
  <si>
    <t>clean</t>
  </si>
  <si>
    <t>blur</t>
  </si>
  <si>
    <t>angle_tilt</t>
  </si>
  <si>
    <t xml:space="preserve"> scale_mismatch</t>
  </si>
  <si>
    <t>black_tint</t>
  </si>
  <si>
    <t>edge_stress</t>
  </si>
  <si>
    <t>white_tint</t>
  </si>
  <si>
    <t>scanline_noise</t>
  </si>
  <si>
    <t>line_dropouts</t>
  </si>
  <si>
    <t>brightness_drift</t>
  </si>
  <si>
    <t>repetition_increase</t>
  </si>
  <si>
    <t>blur, rep inc, edge stress</t>
  </si>
  <si>
    <t>angle tilt, scanline noise, white tint</t>
  </si>
  <si>
    <t>edge stress, scale mismatch, scanline noise</t>
  </si>
  <si>
    <t>angle tilt, repetition increase</t>
  </si>
  <si>
    <t>repetition increase, edge stress, black tint</t>
  </si>
  <si>
    <t>scanline noise, line dropout, white tint</t>
  </si>
  <si>
    <t>edge stress, scale mismatch</t>
  </si>
  <si>
    <t>scanline_noise, black tint</t>
  </si>
  <si>
    <t>white tint, scanline noise</t>
  </si>
  <si>
    <t>blur, edge stress, white tint, scanline noise</t>
  </si>
  <si>
    <t>all</t>
  </si>
  <si>
    <t>0.5364 seconds</t>
  </si>
  <si>
    <t>Best Match %</t>
  </si>
  <si>
    <t>Selected Match %</t>
  </si>
  <si>
    <t>0.4835 seconds</t>
  </si>
  <si>
    <t>0.5284 seconds</t>
  </si>
  <si>
    <t>0.5150 seconds</t>
  </si>
  <si>
    <t>0.5456 seconds</t>
  </si>
  <si>
    <t>0.4817 seconds</t>
  </si>
  <si>
    <t>0.5009 seconds</t>
  </si>
  <si>
    <t>0.5332 seconds</t>
  </si>
  <si>
    <t>0.4988 seconds</t>
  </si>
  <si>
    <t>0.4872 seconds</t>
  </si>
  <si>
    <t>0.5083 seconds</t>
  </si>
  <si>
    <t xml:space="preserve"> 0.4965 seconds</t>
  </si>
  <si>
    <t>0.4823 seconds</t>
  </si>
  <si>
    <t xml:space="preserve"> 0.4975 seconds</t>
  </si>
  <si>
    <t>0.4815 seconds</t>
  </si>
  <si>
    <t>0.5208 seconds</t>
  </si>
  <si>
    <t>0.4948 seconds</t>
  </si>
  <si>
    <t>0.4928 seconds</t>
  </si>
  <si>
    <t>0.4869 seconds</t>
  </si>
  <si>
    <t>0.5231 seconds</t>
  </si>
  <si>
    <t>0.4828 seconds</t>
  </si>
  <si>
    <t>0.4852 seconds</t>
  </si>
  <si>
    <t>submission\references\1_clean\reference_clean.png</t>
  </si>
  <si>
    <t>submission\references\1_clean\wide_search_defective.png</t>
  </si>
  <si>
    <t>submission\references\2_clean\reference_clean.png</t>
  </si>
  <si>
    <t>submission\references\2_clean\wide_search_defective.png</t>
  </si>
  <si>
    <t>submission\references\3_clean\reference_clean.png</t>
  </si>
  <si>
    <t>submission\references\3_clean\wide_search_defective.png</t>
  </si>
  <si>
    <t>submission\references\4_clean\reference_clean.png</t>
  </si>
  <si>
    <t>submission\references\4_clean\wide_search_defective.png</t>
  </si>
  <si>
    <t>submission\references\5_clean\reference_clean.png</t>
  </si>
  <si>
    <t>submission\references\5_clean\wide_search_defective.png</t>
  </si>
  <si>
    <t>submission\references\6_blur\reference_clean.png</t>
  </si>
  <si>
    <t>submission\references\6_blur\wide_search_defective.png</t>
  </si>
  <si>
    <t>submission\references\7_angle_tilt\reference_clean.png</t>
  </si>
  <si>
    <t>submission\references\7_angle_tilt\wide_search_defective.png</t>
  </si>
  <si>
    <t>submission\references\8_edge_stress\reference_clean.png</t>
  </si>
  <si>
    <t>submission\references\8_edge_stress\wide_search_defective.png</t>
  </si>
  <si>
    <t>submission\references\9_scale_mismatch\reference_clean.png</t>
  </si>
  <si>
    <t>submission\references\9_scale_mismatch\wide_search_defective.png</t>
  </si>
  <si>
    <t>submission\references\15_rep_inc2\reference_clean.png</t>
  </si>
  <si>
    <t>submission\references\15_rep_inc2\wide_search_defective.png</t>
  </si>
  <si>
    <t>submission\references\10_black_tint\reference_clean.png</t>
  </si>
  <si>
    <t>submission\references\10_black_tint\wide_search_defective.png</t>
  </si>
  <si>
    <t>submission\references\11_white_tint\reference_clean.png</t>
  </si>
  <si>
    <t>submission\references\11_white_tint\wide_search_defective.png</t>
  </si>
  <si>
    <t>submission\references\12_scanline_noise\reference_clean.png</t>
  </si>
  <si>
    <t>submission\references\12_scanline_noise\wide_search_defective.png</t>
  </si>
  <si>
    <t>submission\references\13_line_dropouts\reference_clean.png</t>
  </si>
  <si>
    <t>submission\references\13_line_dropouts\wide_search_defective.png</t>
  </si>
  <si>
    <t>submission\references\14_brightness_drift\reference_clean.png</t>
  </si>
  <si>
    <t>submission\references\16_ blur_repetition_inc_edge_stress\reference_clean.png</t>
  </si>
  <si>
    <t>submission\references\16_ blur_repetition_inc_edge_stress\wide_search_defective.png</t>
  </si>
  <si>
    <t>submission\references\17_ angle_tilt_white_tint_scanline_noise\reference_clean.png</t>
  </si>
  <si>
    <t>submission\references\17_ angle_tilt_white_tint_scanline_noise\wide_search_defective.png</t>
  </si>
  <si>
    <t>submission\references\18_ scanline_noise_line_dropout_white_tint\reference_clean.png</t>
  </si>
  <si>
    <t>submission\references\18_ scanline_noise_line_dropout_white_tint\wide_search_defective.png</t>
  </si>
  <si>
    <t>submission\references\19_rep_inc_edge_stress_black_tint\reference_clean.png</t>
  </si>
  <si>
    <t>submission\references\19_rep_inc_edge_stress_black_tint\wide_search_defective.png</t>
  </si>
  <si>
    <t>submission\references\21_angle_tilt_rep_inc\reference_clean.png</t>
  </si>
  <si>
    <t>submission\references\21_angle_tilt_rep_inc\wide_search_defective.png</t>
  </si>
  <si>
    <t>submission\references\22_black_tint_scanline_noise\reference_clean.png</t>
  </si>
  <si>
    <t>submission\references\22_black_tint_scanline_noise\wide_search_defective.png</t>
  </si>
  <si>
    <t>submission\references\23_edge_stress_scale_mismatch\reference_clean.png</t>
  </si>
  <si>
    <t>submission\references\23_edge_stress_scale_mismatch\wide_search_defective.png</t>
  </si>
  <si>
    <t>submission\references\24_white_tint_scanline_noise\reference_clean.png</t>
  </si>
  <si>
    <t>submission\references\24_white_tint_scanline_noise\wide_search_defective.png</t>
  </si>
  <si>
    <t>submission\references\25_blur_edge_stress_white_tint_line_dropouts\reference_clean.png</t>
  </si>
  <si>
    <t>submission\references\25_blur_edge_stress_white_tint_line_dropouts\wide_search_defective.png</t>
  </si>
  <si>
    <t>submission\references\26_all\reference_clean.png</t>
  </si>
  <si>
    <t>submission\references\26_all\wide_search_defective.png</t>
  </si>
  <si>
    <t>submission\references\27_all\reference_clean.png</t>
  </si>
  <si>
    <t>submission\references\27_all\wide_search_defective.png</t>
  </si>
  <si>
    <t>submission\references\28_all\reference_clean.png</t>
  </si>
  <si>
    <t>submission\references\28_all\wide_search_defective.png</t>
  </si>
  <si>
    <t>submission\references\29_all\reference_clean.png</t>
  </si>
  <si>
    <t>submission\references\29_all\wide_search_defective.png</t>
  </si>
  <si>
    <t>Coordinates X</t>
  </si>
  <si>
    <t>Coordinates Y</t>
  </si>
  <si>
    <t>Ground Truth Coordinates X</t>
  </si>
  <si>
    <t>Ground Truth Coordinates Y</t>
  </si>
  <si>
    <t>Difference X</t>
  </si>
  <si>
    <t>0.2965 seconds</t>
  </si>
  <si>
    <t>0.2991 seconds</t>
  </si>
  <si>
    <t>0.3133 seconds</t>
  </si>
  <si>
    <t>0.3010 seconds</t>
  </si>
  <si>
    <t>0.3104 seconds</t>
  </si>
  <si>
    <t>0.3161 seconds</t>
  </si>
  <si>
    <t>0.3032 seconds</t>
  </si>
  <si>
    <t>0.2943 seconds</t>
  </si>
  <si>
    <t>Difference Y</t>
  </si>
  <si>
    <t>Eucledian Distance</t>
  </si>
  <si>
    <t>submission\references\20_edge_stress_scale_mismatch_scanline_noise\reference_clean.png</t>
  </si>
  <si>
    <t>submission\references\30_all_f\reference_clean.png</t>
  </si>
  <si>
    <t>submission\references\30_all_f\wide_search_defective.png</t>
  </si>
  <si>
    <t>submission\references\20_edge_stress_scale_mismatch_scanline_noise\wide_search_defective.png</t>
  </si>
  <si>
    <t>submission\references\14_brightness_drift\wide_search_defective.png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</si>
</sst>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3E123-C2D6-461B-9B11-6A5A3BED04A9}">
  <dimension ref="A1:N31"/>
  <sheetViews>
    <sheetView tabSelected="1" topLeftCell="L1" workbookViewId="0">
      <selection activeCell="N2" sqref="N2"/>
    </sheetView>
  </sheetViews>
  <sheetFormatPr defaultRowHeight="14.4" x14ac:dyDescent="0.3"/>
  <cols>
    <col min="2" max="2" width="37.33203125" customWidth="1"/>
    <col min="3" max="4" width="15.88671875" customWidth="1"/>
    <col min="5" max="5" width="15.109375" customWidth="1"/>
    <col min="6" max="7" width="16.21875" customWidth="1"/>
    <col min="8" max="12" width="23.77734375" customWidth="1"/>
    <col min="13" max="13" width="78" customWidth="1"/>
    <col min="14" max="14" width="82" customWidth="1"/>
  </cols>
  <sheetData>
    <row r="1" spans="1:14" x14ac:dyDescent="0.3">
      <c r="A1" s="2" t="s">
        <v>2</v>
      </c>
      <c r="B1" s="2" t="s">
        <v>0</v>
      </c>
      <c r="C1" s="2" t="s">
        <v>1</v>
      </c>
      <c r="D1" s="2" t="s">
        <v>28</v>
      </c>
      <c r="E1" s="2" t="s">
        <v>29</v>
      </c>
      <c r="F1" s="2" t="s">
        <v>106</v>
      </c>
      <c r="G1" s="2" t="s">
        <v>107</v>
      </c>
      <c r="H1" s="2" t="s">
        <v>108</v>
      </c>
      <c r="I1" s="2" t="s">
        <v>109</v>
      </c>
      <c r="J1" s="2" t="s">
        <v>110</v>
      </c>
      <c r="K1" s="2" t="s">
        <v>119</v>
      </c>
      <c r="L1" s="2" t="s">
        <v>120</v>
      </c>
      <c r="M1" s="2" t="s">
        <v>3</v>
      </c>
      <c r="N1" s="2" t="s">
        <v>4</v>
      </c>
    </row>
    <row r="2" spans="1:14" x14ac:dyDescent="0.3">
      <c r="A2" s="2">
        <v>1</v>
      </c>
      <c r="B2" t="s">
        <v>5</v>
      </c>
      <c r="C2" s="2" t="s">
        <v>27</v>
      </c>
      <c r="D2" s="1">
        <v>0.92720000000000002</v>
      </c>
      <c r="E2" s="1">
        <v>0.92720000000000002</v>
      </c>
      <c r="F2" s="2">
        <v>465</v>
      </c>
      <c r="G2" s="2">
        <v>469</v>
      </c>
      <c r="H2" s="2">
        <v>465</v>
      </c>
      <c r="I2" s="2">
        <v>469</v>
      </c>
      <c r="J2" s="2">
        <f>H2-F2</f>
        <v>0</v>
      </c>
      <c r="K2" s="2">
        <f>I2-G2</f>
        <v>0</v>
      </c>
      <c r="L2" s="2">
        <f>(J2^2+K2^2)^1/2</f>
        <v>0</v>
      </c>
      <c r="M2" s="3" t="s">
        <v>51</v>
      </c>
      <c r="N2" s="3" t="s">
        <v>52</v>
      </c>
    </row>
    <row r="3" spans="1:14" x14ac:dyDescent="0.3">
      <c r="A3" s="2">
        <v>2</v>
      </c>
      <c r="B3" t="s">
        <v>5</v>
      </c>
      <c r="C3" s="2" t="s">
        <v>30</v>
      </c>
      <c r="D3" s="1">
        <v>0.82579999999999998</v>
      </c>
      <c r="E3" s="1">
        <v>0.72699999999999998</v>
      </c>
      <c r="F3" s="2">
        <v>570</v>
      </c>
      <c r="G3" s="2">
        <v>566</v>
      </c>
      <c r="H3" s="2">
        <v>570</v>
      </c>
      <c r="I3" s="2">
        <v>566</v>
      </c>
      <c r="J3" s="2">
        <f t="shared" ref="J3:J31" si="0">H3-F3</f>
        <v>0</v>
      </c>
      <c r="K3" s="2">
        <f t="shared" ref="K3:K31" si="1">I3-G3</f>
        <v>0</v>
      </c>
      <c r="L3" s="2">
        <f t="shared" ref="L3:L31" si="2">(J3^2+K3^2)^1/2</f>
        <v>0</v>
      </c>
      <c r="M3" s="3" t="s">
        <v>53</v>
      </c>
      <c r="N3" s="3" t="s">
        <v>54</v>
      </c>
    </row>
    <row r="4" spans="1:14" x14ac:dyDescent="0.3">
      <c r="A4" s="2">
        <v>3</v>
      </c>
      <c r="B4" t="s">
        <v>5</v>
      </c>
      <c r="C4" s="2" t="s">
        <v>31</v>
      </c>
      <c r="D4" s="1">
        <v>0.82169999999999999</v>
      </c>
      <c r="E4" s="1">
        <v>0.76680000000000004</v>
      </c>
      <c r="F4" s="2">
        <v>640.5</v>
      </c>
      <c r="G4" s="2">
        <v>151.5</v>
      </c>
      <c r="H4" s="2">
        <v>640.5</v>
      </c>
      <c r="I4" s="2">
        <v>151.5</v>
      </c>
      <c r="J4" s="2">
        <f t="shared" si="0"/>
        <v>0</v>
      </c>
      <c r="K4" s="2">
        <f t="shared" si="1"/>
        <v>0</v>
      </c>
      <c r="L4" s="2">
        <f t="shared" si="2"/>
        <v>0</v>
      </c>
      <c r="M4" s="3" t="s">
        <v>55</v>
      </c>
      <c r="N4" s="3" t="s">
        <v>56</v>
      </c>
    </row>
    <row r="5" spans="1:14" x14ac:dyDescent="0.3">
      <c r="A5" s="2">
        <v>4</v>
      </c>
      <c r="B5" t="s">
        <v>5</v>
      </c>
      <c r="C5" s="2" t="s">
        <v>32</v>
      </c>
      <c r="D5" s="1">
        <v>0.86099999999999999</v>
      </c>
      <c r="E5" s="1">
        <v>0.86099999999999999</v>
      </c>
      <c r="F5" s="2">
        <v>676</v>
      </c>
      <c r="G5" s="2">
        <v>854</v>
      </c>
      <c r="H5" s="2">
        <v>676</v>
      </c>
      <c r="I5" s="2">
        <v>854</v>
      </c>
      <c r="J5" s="2">
        <f t="shared" si="0"/>
        <v>0</v>
      </c>
      <c r="K5" s="2">
        <f t="shared" si="1"/>
        <v>0</v>
      </c>
      <c r="L5" s="2">
        <f t="shared" si="2"/>
        <v>0</v>
      </c>
      <c r="M5" s="3" t="s">
        <v>57</v>
      </c>
      <c r="N5" s="3" t="s">
        <v>58</v>
      </c>
    </row>
    <row r="6" spans="1:14" x14ac:dyDescent="0.3">
      <c r="A6" s="2">
        <v>5</v>
      </c>
      <c r="B6" t="s">
        <v>5</v>
      </c>
      <c r="C6" s="2" t="s">
        <v>33</v>
      </c>
      <c r="D6" s="1">
        <v>0.93010000000000004</v>
      </c>
      <c r="E6" s="1">
        <v>0.93010000000000004</v>
      </c>
      <c r="F6" s="2">
        <v>185</v>
      </c>
      <c r="G6" s="2">
        <v>262</v>
      </c>
      <c r="H6" s="2">
        <v>185</v>
      </c>
      <c r="I6" s="2">
        <v>262</v>
      </c>
      <c r="J6" s="2">
        <f t="shared" si="0"/>
        <v>0</v>
      </c>
      <c r="K6" s="2">
        <f t="shared" si="1"/>
        <v>0</v>
      </c>
      <c r="L6" s="2">
        <f t="shared" si="2"/>
        <v>0</v>
      </c>
      <c r="M6" s="3" t="s">
        <v>59</v>
      </c>
      <c r="N6" s="3" t="s">
        <v>60</v>
      </c>
    </row>
    <row r="7" spans="1:14" x14ac:dyDescent="0.3">
      <c r="A7" s="2">
        <v>6</v>
      </c>
      <c r="B7" t="s">
        <v>6</v>
      </c>
      <c r="C7" s="2" t="s">
        <v>34</v>
      </c>
      <c r="D7" s="1">
        <v>0.62729999999999997</v>
      </c>
      <c r="E7" s="1">
        <v>0.62729999999999997</v>
      </c>
      <c r="F7" s="2">
        <v>797</v>
      </c>
      <c r="G7" s="2">
        <v>137</v>
      </c>
      <c r="H7" s="2">
        <v>797</v>
      </c>
      <c r="I7" s="2">
        <v>137</v>
      </c>
      <c r="J7" s="2">
        <f t="shared" si="0"/>
        <v>0</v>
      </c>
      <c r="K7" s="2">
        <f t="shared" si="1"/>
        <v>0</v>
      </c>
      <c r="L7" s="2">
        <f t="shared" si="2"/>
        <v>0</v>
      </c>
      <c r="M7" s="3" t="s">
        <v>61</v>
      </c>
      <c r="N7" s="3" t="s">
        <v>62</v>
      </c>
    </row>
    <row r="8" spans="1:14" x14ac:dyDescent="0.3">
      <c r="A8" s="2">
        <v>7</v>
      </c>
      <c r="B8" t="s">
        <v>7</v>
      </c>
      <c r="C8" s="2" t="s">
        <v>35</v>
      </c>
      <c r="D8" s="1">
        <v>0.74980000000000002</v>
      </c>
      <c r="E8" s="1">
        <v>0.74980000000000002</v>
      </c>
      <c r="F8" s="2">
        <v>904</v>
      </c>
      <c r="G8" s="2">
        <v>210</v>
      </c>
      <c r="H8" s="2">
        <v>897</v>
      </c>
      <c r="I8" s="2">
        <v>201</v>
      </c>
      <c r="J8" s="2">
        <f>H8-F8</f>
        <v>-7</v>
      </c>
      <c r="K8" s="2">
        <f t="shared" si="1"/>
        <v>-9</v>
      </c>
      <c r="L8" s="2">
        <v>11.4</v>
      </c>
      <c r="M8" s="3" t="s">
        <v>69</v>
      </c>
      <c r="N8" s="3" t="s">
        <v>70</v>
      </c>
    </row>
    <row r="9" spans="1:14" x14ac:dyDescent="0.3">
      <c r="A9" s="2">
        <v>8</v>
      </c>
      <c r="B9" t="s">
        <v>15</v>
      </c>
      <c r="C9" s="2" t="s">
        <v>36</v>
      </c>
      <c r="D9" s="1">
        <v>0.95830000000000004</v>
      </c>
      <c r="E9" s="1">
        <v>0.95830000000000004</v>
      </c>
      <c r="F9" s="2">
        <v>286</v>
      </c>
      <c r="G9" s="2">
        <v>484</v>
      </c>
      <c r="H9" s="2">
        <v>286</v>
      </c>
      <c r="I9" s="2">
        <v>484</v>
      </c>
      <c r="J9" s="2">
        <f t="shared" si="0"/>
        <v>0</v>
      </c>
      <c r="K9" s="2">
        <f t="shared" si="1"/>
        <v>0</v>
      </c>
      <c r="L9" s="2">
        <f t="shared" si="2"/>
        <v>0</v>
      </c>
      <c r="M9" s="3" t="s">
        <v>63</v>
      </c>
      <c r="N9" s="3" t="s">
        <v>64</v>
      </c>
    </row>
    <row r="10" spans="1:14" x14ac:dyDescent="0.3">
      <c r="A10" s="2">
        <v>9</v>
      </c>
      <c r="B10" t="s">
        <v>10</v>
      </c>
      <c r="C10" s="2" t="s">
        <v>37</v>
      </c>
      <c r="D10" s="1">
        <v>0.84279999999999999</v>
      </c>
      <c r="E10" s="1">
        <v>0.84279999999999999</v>
      </c>
      <c r="F10" s="2">
        <v>585</v>
      </c>
      <c r="G10" s="2">
        <v>477</v>
      </c>
      <c r="H10" s="2">
        <v>585</v>
      </c>
      <c r="I10" s="2">
        <v>477</v>
      </c>
      <c r="J10" s="2">
        <f t="shared" si="0"/>
        <v>0</v>
      </c>
      <c r="K10" s="2">
        <f t="shared" si="1"/>
        <v>0</v>
      </c>
      <c r="L10" s="2">
        <f t="shared" si="2"/>
        <v>0</v>
      </c>
      <c r="M10" s="3" t="s">
        <v>65</v>
      </c>
      <c r="N10" s="3" t="s">
        <v>66</v>
      </c>
    </row>
    <row r="11" spans="1:14" x14ac:dyDescent="0.3">
      <c r="A11" s="2">
        <v>10</v>
      </c>
      <c r="B11" t="s">
        <v>8</v>
      </c>
      <c r="C11" s="2" t="s">
        <v>111</v>
      </c>
      <c r="D11" s="1">
        <v>0.93440000000000001</v>
      </c>
      <c r="E11" s="1">
        <v>0.93440000000000001</v>
      </c>
      <c r="F11" s="2">
        <v>312.5</v>
      </c>
      <c r="G11" s="2">
        <v>906.5</v>
      </c>
      <c r="H11" s="2">
        <v>309.5</v>
      </c>
      <c r="I11" s="2">
        <v>912.5</v>
      </c>
      <c r="J11" s="2">
        <f t="shared" si="0"/>
        <v>-3</v>
      </c>
      <c r="K11" s="2">
        <f t="shared" si="1"/>
        <v>6</v>
      </c>
      <c r="L11" s="2">
        <v>6.7</v>
      </c>
      <c r="M11" s="3" t="s">
        <v>67</v>
      </c>
      <c r="N11" s="3" t="s">
        <v>68</v>
      </c>
    </row>
    <row r="12" spans="1:14" x14ac:dyDescent="0.3">
      <c r="A12" s="2">
        <v>11</v>
      </c>
      <c r="B12" t="s">
        <v>9</v>
      </c>
      <c r="C12" s="2" t="s">
        <v>38</v>
      </c>
      <c r="D12" s="1">
        <v>0.91910000000000003</v>
      </c>
      <c r="E12" s="1">
        <v>0.90859999999999996</v>
      </c>
      <c r="F12" s="2">
        <v>148</v>
      </c>
      <c r="G12" s="2">
        <v>252</v>
      </c>
      <c r="H12" s="2">
        <v>148</v>
      </c>
      <c r="I12" s="2">
        <v>252</v>
      </c>
      <c r="J12" s="2">
        <f t="shared" si="0"/>
        <v>0</v>
      </c>
      <c r="K12" s="2">
        <f t="shared" si="1"/>
        <v>0</v>
      </c>
      <c r="L12" s="2">
        <f t="shared" si="2"/>
        <v>0</v>
      </c>
      <c r="M12" s="3" t="s">
        <v>71</v>
      </c>
      <c r="N12" s="3" t="s">
        <v>72</v>
      </c>
    </row>
    <row r="13" spans="1:14" x14ac:dyDescent="0.3">
      <c r="A13" s="2">
        <v>12</v>
      </c>
      <c r="B13" t="s">
        <v>11</v>
      </c>
      <c r="C13" s="2" t="s">
        <v>39</v>
      </c>
      <c r="D13" s="1">
        <v>0.9425</v>
      </c>
      <c r="E13" s="1">
        <v>0.9425</v>
      </c>
      <c r="F13" s="2">
        <v>774</v>
      </c>
      <c r="G13" s="2">
        <v>828</v>
      </c>
      <c r="H13" s="2">
        <v>774</v>
      </c>
      <c r="I13" s="2">
        <v>828</v>
      </c>
      <c r="J13" s="2">
        <f t="shared" si="0"/>
        <v>0</v>
      </c>
      <c r="K13" s="2">
        <f t="shared" si="1"/>
        <v>0</v>
      </c>
      <c r="L13" s="2">
        <f t="shared" si="2"/>
        <v>0</v>
      </c>
      <c r="M13" s="3" t="s">
        <v>73</v>
      </c>
      <c r="N13" s="3" t="s">
        <v>74</v>
      </c>
    </row>
    <row r="14" spans="1:14" x14ac:dyDescent="0.3">
      <c r="A14" s="2">
        <v>13</v>
      </c>
      <c r="B14" t="s">
        <v>12</v>
      </c>
      <c r="C14" s="2" t="s">
        <v>40</v>
      </c>
      <c r="D14" s="1">
        <v>0.95220000000000005</v>
      </c>
      <c r="E14" s="1">
        <v>0.95220000000000005</v>
      </c>
      <c r="F14" s="2">
        <v>523</v>
      </c>
      <c r="G14" s="2">
        <v>889</v>
      </c>
      <c r="H14" s="2">
        <v>523</v>
      </c>
      <c r="I14" s="2">
        <v>889</v>
      </c>
      <c r="J14" s="2">
        <f t="shared" si="0"/>
        <v>0</v>
      </c>
      <c r="K14" s="2">
        <f t="shared" si="1"/>
        <v>0</v>
      </c>
      <c r="L14" s="2">
        <f t="shared" si="2"/>
        <v>0</v>
      </c>
      <c r="M14" s="3" t="s">
        <v>75</v>
      </c>
      <c r="N14" s="3" t="s">
        <v>76</v>
      </c>
    </row>
    <row r="15" spans="1:14" x14ac:dyDescent="0.3">
      <c r="A15" s="2">
        <v>14</v>
      </c>
      <c r="B15" t="s">
        <v>13</v>
      </c>
      <c r="C15" s="2" t="s">
        <v>41</v>
      </c>
      <c r="D15" s="1">
        <v>0.97970000000000002</v>
      </c>
      <c r="E15" s="1">
        <v>0.97970000000000002</v>
      </c>
      <c r="F15" s="2">
        <v>862</v>
      </c>
      <c r="G15" s="2">
        <v>797</v>
      </c>
      <c r="H15" s="2">
        <v>862</v>
      </c>
      <c r="I15" s="2">
        <v>797</v>
      </c>
      <c r="J15" s="2">
        <f t="shared" si="0"/>
        <v>0</v>
      </c>
      <c r="K15" s="2">
        <f t="shared" si="1"/>
        <v>0</v>
      </c>
      <c r="L15" s="2">
        <f t="shared" si="2"/>
        <v>0</v>
      </c>
      <c r="M15" s="3" t="s">
        <v>77</v>
      </c>
      <c r="N15" s="3" t="s">
        <v>78</v>
      </c>
    </row>
    <row r="16" spans="1:14" x14ac:dyDescent="0.3">
      <c r="A16" s="2">
        <v>15</v>
      </c>
      <c r="B16" t="s">
        <v>14</v>
      </c>
      <c r="C16" s="2" t="s">
        <v>42</v>
      </c>
      <c r="D16" s="1">
        <v>0.92210000000000003</v>
      </c>
      <c r="E16" s="1">
        <v>0.92210000000000003</v>
      </c>
      <c r="F16" s="2">
        <v>392</v>
      </c>
      <c r="G16" s="2">
        <v>738</v>
      </c>
      <c r="H16" s="2">
        <v>392</v>
      </c>
      <c r="I16" s="2">
        <v>738</v>
      </c>
      <c r="J16" s="2">
        <f t="shared" si="0"/>
        <v>0</v>
      </c>
      <c r="K16" s="2">
        <f t="shared" si="1"/>
        <v>0</v>
      </c>
      <c r="L16" s="2">
        <f t="shared" si="2"/>
        <v>0</v>
      </c>
      <c r="M16" s="3" t="s">
        <v>79</v>
      </c>
      <c r="N16" s="3" t="s">
        <v>125</v>
      </c>
    </row>
    <row r="17" spans="1:14" x14ac:dyDescent="0.3">
      <c r="A17" s="2">
        <v>16</v>
      </c>
      <c r="B17" t="s">
        <v>16</v>
      </c>
      <c r="C17" s="2" t="s">
        <v>43</v>
      </c>
      <c r="D17" s="1">
        <v>0.57679999999999998</v>
      </c>
      <c r="E17" s="1">
        <v>0.57679999999999998</v>
      </c>
      <c r="F17" s="2">
        <v>768</v>
      </c>
      <c r="G17" s="2">
        <v>424</v>
      </c>
      <c r="H17" s="2">
        <v>768</v>
      </c>
      <c r="I17" s="2">
        <v>424</v>
      </c>
      <c r="J17" s="2">
        <f t="shared" si="0"/>
        <v>0</v>
      </c>
      <c r="K17" s="2">
        <f t="shared" si="1"/>
        <v>0</v>
      </c>
      <c r="L17" s="2">
        <f t="shared" si="2"/>
        <v>0</v>
      </c>
      <c r="M17" s="3" t="s">
        <v>80</v>
      </c>
      <c r="N17" s="3" t="s">
        <v>81</v>
      </c>
    </row>
    <row r="18" spans="1:14" x14ac:dyDescent="0.3">
      <c r="A18" s="2">
        <v>17</v>
      </c>
      <c r="B18" t="s">
        <v>17</v>
      </c>
      <c r="C18" s="2" t="s">
        <v>44</v>
      </c>
      <c r="D18" s="1">
        <v>0.64900000000000002</v>
      </c>
      <c r="E18" s="1">
        <v>0.64900000000000002</v>
      </c>
      <c r="F18" s="2">
        <v>348</v>
      </c>
      <c r="G18" s="2">
        <v>322</v>
      </c>
      <c r="H18" s="2">
        <v>353</v>
      </c>
      <c r="I18" s="2">
        <v>319</v>
      </c>
      <c r="J18" s="2">
        <f t="shared" si="0"/>
        <v>5</v>
      </c>
      <c r="K18" s="2">
        <f t="shared" si="1"/>
        <v>-3</v>
      </c>
      <c r="L18" s="2">
        <v>5.8</v>
      </c>
      <c r="M18" s="3" t="s">
        <v>82</v>
      </c>
      <c r="N18" s="3" t="s">
        <v>83</v>
      </c>
    </row>
    <row r="19" spans="1:14" x14ac:dyDescent="0.3">
      <c r="A19" s="2">
        <v>18</v>
      </c>
      <c r="B19" t="s">
        <v>21</v>
      </c>
      <c r="C19" s="2" t="s">
        <v>45</v>
      </c>
      <c r="D19" s="1">
        <v>0.91139999999999999</v>
      </c>
      <c r="E19" s="1">
        <v>0.91139999999999999</v>
      </c>
      <c r="F19" s="2">
        <v>590</v>
      </c>
      <c r="G19" s="2">
        <v>365</v>
      </c>
      <c r="H19" s="2">
        <v>590</v>
      </c>
      <c r="I19" s="2">
        <v>365</v>
      </c>
      <c r="J19" s="2">
        <f t="shared" si="0"/>
        <v>0</v>
      </c>
      <c r="K19" s="2">
        <f t="shared" si="1"/>
        <v>0</v>
      </c>
      <c r="L19" s="2">
        <f t="shared" si="2"/>
        <v>0</v>
      </c>
      <c r="M19" s="3" t="s">
        <v>84</v>
      </c>
      <c r="N19" s="3" t="s">
        <v>85</v>
      </c>
    </row>
    <row r="20" spans="1:14" x14ac:dyDescent="0.3">
      <c r="A20" s="2">
        <v>19</v>
      </c>
      <c r="B20" t="s">
        <v>20</v>
      </c>
      <c r="C20" s="2" t="s">
        <v>46</v>
      </c>
      <c r="D20" s="1">
        <v>0.7681</v>
      </c>
      <c r="E20" s="1">
        <v>0.7681</v>
      </c>
      <c r="F20" s="2">
        <v>504</v>
      </c>
      <c r="G20" s="2">
        <v>329</v>
      </c>
      <c r="H20" s="2">
        <v>504</v>
      </c>
      <c r="I20" s="2">
        <v>329</v>
      </c>
      <c r="J20" s="2">
        <f t="shared" si="0"/>
        <v>0</v>
      </c>
      <c r="K20" s="2">
        <f t="shared" si="1"/>
        <v>0</v>
      </c>
      <c r="L20" s="2">
        <f t="shared" si="2"/>
        <v>0</v>
      </c>
      <c r="M20" s="3" t="s">
        <v>86</v>
      </c>
      <c r="N20" s="3" t="s">
        <v>87</v>
      </c>
    </row>
    <row r="21" spans="1:14" x14ac:dyDescent="0.3">
      <c r="A21" s="2">
        <v>20</v>
      </c>
      <c r="B21" t="s">
        <v>18</v>
      </c>
      <c r="C21" s="2" t="s">
        <v>112</v>
      </c>
      <c r="D21" s="1">
        <v>0.88070000000000004</v>
      </c>
      <c r="E21" s="1">
        <v>0.88070000000000004</v>
      </c>
      <c r="F21" s="2">
        <v>712.5</v>
      </c>
      <c r="G21" s="2">
        <v>649.5</v>
      </c>
      <c r="H21" s="2">
        <v>713.5</v>
      </c>
      <c r="I21" s="2">
        <v>649.5</v>
      </c>
      <c r="J21" s="2">
        <f t="shared" si="0"/>
        <v>1</v>
      </c>
      <c r="K21" s="2">
        <f t="shared" si="1"/>
        <v>0</v>
      </c>
      <c r="L21" s="2">
        <v>1</v>
      </c>
      <c r="M21" s="3" t="s">
        <v>121</v>
      </c>
      <c r="N21" s="3" t="s">
        <v>124</v>
      </c>
    </row>
    <row r="22" spans="1:14" x14ac:dyDescent="0.3">
      <c r="A22" s="2">
        <v>21</v>
      </c>
      <c r="B22" t="s">
        <v>19</v>
      </c>
      <c r="C22" s="2" t="s">
        <v>47</v>
      </c>
      <c r="D22" s="1">
        <v>0.87070000000000003</v>
      </c>
      <c r="E22" s="1">
        <v>0.87070000000000003</v>
      </c>
      <c r="F22" s="2">
        <v>724.5</v>
      </c>
      <c r="G22" s="2">
        <v>598.5</v>
      </c>
      <c r="H22" s="2">
        <v>724</v>
      </c>
      <c r="I22" s="2">
        <v>601</v>
      </c>
      <c r="J22" s="2">
        <f t="shared" si="0"/>
        <v>-0.5</v>
      </c>
      <c r="K22" s="2">
        <f t="shared" si="1"/>
        <v>2.5</v>
      </c>
      <c r="L22" s="2">
        <v>2.54</v>
      </c>
      <c r="M22" s="3" t="s">
        <v>88</v>
      </c>
      <c r="N22" s="3" t="s">
        <v>89</v>
      </c>
    </row>
    <row r="23" spans="1:14" x14ac:dyDescent="0.3">
      <c r="A23" s="2">
        <v>22</v>
      </c>
      <c r="B23" t="s">
        <v>23</v>
      </c>
      <c r="C23" s="2" t="s">
        <v>48</v>
      </c>
      <c r="D23" s="1">
        <v>0.88790000000000002</v>
      </c>
      <c r="E23" s="1">
        <v>0.88790000000000002</v>
      </c>
      <c r="F23" s="2">
        <v>703</v>
      </c>
      <c r="G23" s="2">
        <v>611</v>
      </c>
      <c r="H23" s="2">
        <v>703</v>
      </c>
      <c r="I23" s="2">
        <v>611</v>
      </c>
      <c r="J23" s="2">
        <f t="shared" si="0"/>
        <v>0</v>
      </c>
      <c r="K23" s="2">
        <f t="shared" si="1"/>
        <v>0</v>
      </c>
      <c r="L23" s="2">
        <f t="shared" si="2"/>
        <v>0</v>
      </c>
      <c r="M23" s="3" t="s">
        <v>90</v>
      </c>
      <c r="N23" s="3" t="s">
        <v>91</v>
      </c>
    </row>
    <row r="24" spans="1:14" x14ac:dyDescent="0.3">
      <c r="A24" s="2">
        <v>23</v>
      </c>
      <c r="B24" t="s">
        <v>22</v>
      </c>
      <c r="C24" s="2" t="s">
        <v>113</v>
      </c>
      <c r="D24" s="1">
        <v>0.90259999999999996</v>
      </c>
      <c r="E24" s="1">
        <v>0.90259999999999996</v>
      </c>
      <c r="F24" s="2">
        <v>212.5</v>
      </c>
      <c r="G24" s="2">
        <v>778.5</v>
      </c>
      <c r="H24" s="2">
        <v>208.5</v>
      </c>
      <c r="I24" s="2">
        <v>782.5</v>
      </c>
      <c r="J24" s="2">
        <f t="shared" si="0"/>
        <v>-4</v>
      </c>
      <c r="K24" s="2">
        <f t="shared" si="1"/>
        <v>4</v>
      </c>
      <c r="L24" s="2">
        <v>5.6</v>
      </c>
      <c r="M24" s="3" t="s">
        <v>92</v>
      </c>
      <c r="N24" s="3" t="s">
        <v>93</v>
      </c>
    </row>
    <row r="25" spans="1:14" x14ac:dyDescent="0.3">
      <c r="A25" s="2">
        <v>24</v>
      </c>
      <c r="B25" t="s">
        <v>24</v>
      </c>
      <c r="C25" s="2" t="s">
        <v>49</v>
      </c>
      <c r="D25" s="1">
        <v>0.92720000000000002</v>
      </c>
      <c r="E25" s="1">
        <v>0.92720000000000002</v>
      </c>
      <c r="F25" s="2">
        <v>604</v>
      </c>
      <c r="G25" s="2">
        <v>240</v>
      </c>
      <c r="H25" s="2">
        <v>604</v>
      </c>
      <c r="I25" s="2">
        <v>240</v>
      </c>
      <c r="J25" s="2">
        <f t="shared" si="0"/>
        <v>0</v>
      </c>
      <c r="K25" s="2">
        <f t="shared" si="1"/>
        <v>0</v>
      </c>
      <c r="L25" s="2">
        <f t="shared" si="2"/>
        <v>0</v>
      </c>
      <c r="M25" s="3" t="s">
        <v>94</v>
      </c>
      <c r="N25" s="3" t="s">
        <v>95</v>
      </c>
    </row>
    <row r="26" spans="1:14" x14ac:dyDescent="0.3">
      <c r="A26" s="2">
        <v>25</v>
      </c>
      <c r="B26" t="s">
        <v>25</v>
      </c>
      <c r="C26" s="2" t="s">
        <v>50</v>
      </c>
      <c r="D26" s="1">
        <v>0.7097</v>
      </c>
      <c r="E26" s="1">
        <v>0.7097</v>
      </c>
      <c r="F26" s="2">
        <v>238</v>
      </c>
      <c r="G26" s="2">
        <v>579</v>
      </c>
      <c r="H26" s="2">
        <v>238</v>
      </c>
      <c r="I26" s="2">
        <v>579</v>
      </c>
      <c r="J26" s="2">
        <f t="shared" si="0"/>
        <v>0</v>
      </c>
      <c r="K26" s="2">
        <f t="shared" si="1"/>
        <v>0</v>
      </c>
      <c r="L26" s="2">
        <f t="shared" si="2"/>
        <v>0</v>
      </c>
      <c r="M26" s="3" t="s">
        <v>96</v>
      </c>
      <c r="N26" s="3" t="s">
        <v>97</v>
      </c>
    </row>
    <row r="27" spans="1:14" x14ac:dyDescent="0.3">
      <c r="A27" s="2">
        <v>26</v>
      </c>
      <c r="B27" t="s">
        <v>26</v>
      </c>
      <c r="C27" t="s">
        <v>114</v>
      </c>
      <c r="D27" s="1">
        <v>0.66</v>
      </c>
      <c r="E27" s="1">
        <v>0.66</v>
      </c>
      <c r="F27" s="2">
        <v>140.5</v>
      </c>
      <c r="G27" s="2">
        <v>451.5</v>
      </c>
      <c r="H27" s="2">
        <v>138.5</v>
      </c>
      <c r="I27" s="2">
        <v>448.5</v>
      </c>
      <c r="J27" s="2">
        <f t="shared" si="0"/>
        <v>-2</v>
      </c>
      <c r="K27" s="2">
        <f t="shared" si="1"/>
        <v>-3</v>
      </c>
      <c r="L27" s="2">
        <v>3.6</v>
      </c>
      <c r="M27" s="3" t="s">
        <v>98</v>
      </c>
      <c r="N27" s="3" t="s">
        <v>99</v>
      </c>
    </row>
    <row r="28" spans="1:14" x14ac:dyDescent="0.3">
      <c r="A28" s="2">
        <v>27</v>
      </c>
      <c r="B28" t="s">
        <v>26</v>
      </c>
      <c r="C28" t="s">
        <v>115</v>
      </c>
      <c r="D28" s="1">
        <v>0.51519999999999999</v>
      </c>
      <c r="E28" s="1">
        <v>0.51519999999999999</v>
      </c>
      <c r="F28" s="2">
        <v>322.5</v>
      </c>
      <c r="G28" s="2">
        <v>846.5</v>
      </c>
      <c r="H28" s="2">
        <v>327.5</v>
      </c>
      <c r="I28" s="2">
        <v>849.5</v>
      </c>
      <c r="J28" s="2">
        <f t="shared" si="0"/>
        <v>5</v>
      </c>
      <c r="K28" s="2">
        <f t="shared" si="1"/>
        <v>3</v>
      </c>
      <c r="L28" s="2">
        <v>5.8</v>
      </c>
      <c r="M28" s="3" t="s">
        <v>100</v>
      </c>
      <c r="N28" s="3" t="s">
        <v>101</v>
      </c>
    </row>
    <row r="29" spans="1:14" x14ac:dyDescent="0.3">
      <c r="A29" s="2">
        <v>28</v>
      </c>
      <c r="B29" t="s">
        <v>26</v>
      </c>
      <c r="C29" t="s">
        <v>116</v>
      </c>
      <c r="D29" s="1">
        <v>0.52229999999999999</v>
      </c>
      <c r="E29" s="1">
        <v>0.52229999999999999</v>
      </c>
      <c r="F29" s="2">
        <v>844.5</v>
      </c>
      <c r="G29" s="2">
        <v>493.5</v>
      </c>
      <c r="H29" s="2">
        <v>868.5</v>
      </c>
      <c r="I29" s="2">
        <v>499.5</v>
      </c>
      <c r="J29" s="2">
        <f t="shared" si="0"/>
        <v>24</v>
      </c>
      <c r="K29" s="2">
        <f t="shared" si="1"/>
        <v>6</v>
      </c>
      <c r="L29" s="2">
        <v>24.74</v>
      </c>
      <c r="M29" s="3" t="s">
        <v>102</v>
      </c>
      <c r="N29" s="3" t="s">
        <v>103</v>
      </c>
    </row>
    <row r="30" spans="1:14" x14ac:dyDescent="0.3">
      <c r="A30" s="2">
        <v>29</v>
      </c>
      <c r="B30" t="s">
        <v>26</v>
      </c>
      <c r="C30" t="s">
        <v>117</v>
      </c>
      <c r="D30" s="1">
        <v>0.42470000000000002</v>
      </c>
      <c r="E30" s="1">
        <v>0.42470000000000002</v>
      </c>
      <c r="F30" s="2">
        <v>411</v>
      </c>
      <c r="G30" s="2">
        <v>337</v>
      </c>
      <c r="H30" s="2">
        <v>417.5</v>
      </c>
      <c r="I30" s="2">
        <v>342.5</v>
      </c>
      <c r="J30" s="2">
        <f t="shared" si="0"/>
        <v>6.5</v>
      </c>
      <c r="K30" s="2">
        <f t="shared" si="1"/>
        <v>5.5</v>
      </c>
      <c r="L30" s="2">
        <v>8.51</v>
      </c>
      <c r="M30" s="3" t="s">
        <v>104</v>
      </c>
      <c r="N30" s="3" t="s">
        <v>105</v>
      </c>
    </row>
    <row r="31" spans="1:14" x14ac:dyDescent="0.3">
      <c r="A31" s="2">
        <v>30</v>
      </c>
      <c r="B31" t="s">
        <v>26</v>
      </c>
      <c r="C31" t="s">
        <v>118</v>
      </c>
      <c r="D31" s="1">
        <v>0.3921</v>
      </c>
      <c r="E31" s="1">
        <v>0.3921</v>
      </c>
      <c r="F31" s="2">
        <v>658.5</v>
      </c>
      <c r="G31" s="2">
        <v>675.5</v>
      </c>
      <c r="H31" s="2">
        <v>417</v>
      </c>
      <c r="I31" s="2">
        <v>683</v>
      </c>
      <c r="J31" s="2">
        <f t="shared" si="0"/>
        <v>-241.5</v>
      </c>
      <c r="K31" s="2">
        <f t="shared" si="1"/>
        <v>7.5</v>
      </c>
      <c r="L31" s="2">
        <v>241.61</v>
      </c>
      <c r="M31" s="3" t="s">
        <v>122</v>
      </c>
      <c r="N31" s="3" t="s">
        <v>123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Ankan Mondal</dc:creator>
  <cp:lastModifiedBy>Ankan Mondal</cp:lastModifiedBy>
  <dcterms:created xsi:type="dcterms:W3CDTF">2026-08-15T15:42:18Z</dcterms:created>
  <dcterms:modified xsi:type="dcterms:W3CDTF">2026-08-16T11:21:38Z</dcterms:modified>
</cp:coreProperties>
</file>